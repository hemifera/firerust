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indows\projects\rust\firerust\"/>
    </mc:Choice>
  </mc:AlternateContent>
  <xr:revisionPtr revIDLastSave="0" documentId="13_ncr:1_{CF1632D5-EEB3-49F5-BCEC-6E85FABDB37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0" i="1"/>
  <c r="E19" i="1"/>
  <c r="E18" i="1"/>
  <c r="E17" i="1"/>
  <c r="E16" i="1"/>
  <c r="E15" i="1"/>
  <c r="E14" i="1"/>
  <c r="E13" i="1"/>
  <c r="E12" i="1"/>
  <c r="E11" i="1"/>
  <c r="E10" i="1"/>
  <c r="Q9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<sst xmlns="http://schemas.openxmlformats.org/spreadsheetml/2006/main" count="96" uniqueCount="74">
  <si>
    <t>MODBUS INSTRUCTION SAMPLE</t>
  </si>
  <si>
    <t>timestamp</t>
  </si>
  <si>
    <t>instruction</t>
  </si>
  <si>
    <t>instruction
name</t>
  </si>
  <si>
    <t>slave 
address</t>
  </si>
  <si>
    <t>index
address
unit 1</t>
  </si>
  <si>
    <t>address 
unit 1</t>
  </si>
  <si>
    <t>index
quantity
unit 1</t>
  </si>
  <si>
    <t>quantity unit 1</t>
  </si>
  <si>
    <t>count
unit 1</t>
  </si>
  <si>
    <t>register units [1]</t>
  </si>
  <si>
    <t>address 
unit 2</t>
  </si>
  <si>
    <t>quantity unit 2</t>
  </si>
  <si>
    <t>error
check 1</t>
  </si>
  <si>
    <t>Notas</t>
  </si>
  <si>
    <t>vector units [1]</t>
  </si>
  <si>
    <t>mininum
value reg</t>
  </si>
  <si>
    <t>maximum
value reg</t>
  </si>
  <si>
    <t>median
value reg</t>
  </si>
  <si>
    <t>total 
sum</t>
  </si>
  <si>
    <t>zeros 
count</t>
  </si>
  <si>
    <t>01 01 00 19 00 03 AD CC</t>
  </si>
  <si>
    <t>read_coils</t>
  </si>
  <si>
    <t>AD</t>
  </si>
  <si>
    <t>CC</t>
  </si>
  <si>
    <t>01 02 00 04 00 0C 39 CE</t>
  </si>
  <si>
    <t>read_discrete_inputs</t>
  </si>
  <si>
    <t>CE</t>
  </si>
  <si>
    <t>01 03 04 EC 00 0C 85 0A</t>
  </si>
  <si>
    <t>read_holding_registers</t>
  </si>
  <si>
    <t>0A</t>
  </si>
  <si>
    <t>01 04 00 56 00 03 50 1B</t>
  </si>
  <si>
    <t>read_input_registers</t>
  </si>
  <si>
    <t>1B</t>
  </si>
  <si>
    <t>01 05 00 0A FF 00 AC 24</t>
  </si>
  <si>
    <t>write_single_coil</t>
  </si>
  <si>
    <t>65280 o 0</t>
  </si>
  <si>
    <t>Escalar quantity units 1 para 1 (65280) o 0</t>
  </si>
  <si>
    <t>01 06 04 FD 06 DD DA F3</t>
  </si>
  <si>
    <t>write_single_register</t>
  </si>
  <si>
    <t>[1757]</t>
  </si>
  <si>
    <t>DA</t>
  </si>
  <si>
    <t>F3</t>
  </si>
  <si>
    <t>DO NOT FILTER</t>
  </si>
  <si>
    <t>read_exception_status</t>
  </si>
  <si>
    <t>diagnostics</t>
  </si>
  <si>
    <t>get_com_event_counter</t>
  </si>
  <si>
    <t>get_com_event_log</t>
  </si>
  <si>
    <t>write_multiple_coils</t>
  </si>
  <si>
    <t>7E</t>
  </si>
  <si>
    <t>write_multiple_registers</t>
  </si>
  <si>
    <t>A8</t>
  </si>
  <si>
    <t>report_server_id</t>
  </si>
  <si>
    <t>read_file_record</t>
  </si>
  <si>
    <t>write_file_record</t>
  </si>
  <si>
    <t>01 17 00 00 00 02 00 0A 00 02 04 00 01 00 02 E2 63</t>
  </si>
  <si>
    <t>read_write_multiple_registers</t>
  </si>
  <si>
    <t>[ 00 01 00 02 ]</t>
  </si>
  <si>
    <t>E2</t>
  </si>
  <si>
    <t>read_fifo_queue</t>
  </si>
  <si>
    <t>2,3</t>
  </si>
  <si>
    <t>4,5</t>
  </si>
  <si>
    <t>01 10 00 0A 00 03 06 00 0A 00 0B 00 0C 2F 66</t>
  </si>
  <si>
    <t>[ 10 11 12 ]</t>
  </si>
  <si>
    <t>(7, 8)..Max-2</t>
  </si>
  <si>
    <t>01 0F 00 0A 00 0C 02 FF 0F E4 EE</t>
  </si>
  <si>
    <t>[ 255 15 ]</t>
  </si>
  <si>
    <t>pos 6 7</t>
  </si>
  <si>
    <t>pos 8 9</t>
  </si>
  <si>
    <t>01 08 00 00 12 34 ED 7C</t>
  </si>
  <si>
    <t>01 07 41 E2</t>
  </si>
  <si>
    <t>01 0B 04 0A</t>
  </si>
  <si>
    <t>01 0C 00 25</t>
  </si>
  <si>
    <t>mask_write_register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</si>
</sst>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name val="Aptos Narrow"/>
      <scheme val="minor"/>
    </font>
    <font>
      <sz val="8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2" tint="-0.249977111117893"/>
        <bgColor indexed="65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3" borderId="0" xfId="0" applyFill="1"/>
    <xf numFmtId="0" fontId="0" fillId="2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0" fontId="0" fillId="0" borderId="0" xfId="0" applyAlignment="1">
      <alignment horizontal="right"/>
    </xf>
    <xf numFmtId="0" fontId="2" fillId="0" borderId="0" xfId="0" applyFont="1"/>
    <xf numFmtId="0" fontId="2" fillId="2" borderId="0" xfId="0" applyFont="1" applyFill="1"/>
    <xf numFmtId="0" fontId="3" fillId="5" borderId="0" xfId="0" applyFont="1" applyFill="1"/>
    <xf numFmtId="0" fontId="0" fillId="5" borderId="0" xfId="0" applyFill="1"/>
    <xf numFmtId="0" fontId="1" fillId="5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B21"/>
  <sheetViews>
    <sheetView tabSelected="1" topLeftCell="A4" zoomScaleNormal="100" workbookViewId="0">
      <selection activeCell="F21" sqref="F21"/>
    </sheetView>
  </sheetViews>
  <sheetFormatPr defaultRowHeight="15"/>
  <cols>
    <col min="2" max="2" width="45.5703125" customWidth="1"/>
    <col min="3" max="3" width="4.85546875" customWidth="1"/>
    <col min="4" max="4" width="7.28515625" customWidth="1"/>
    <col min="5" max="5" width="6.7109375" customWidth="1"/>
    <col min="6" max="6" width="18.42578125" customWidth="1"/>
    <col min="7" max="8" width="8.140625" customWidth="1"/>
    <col min="9" max="9" width="8.140625" bestFit="1" customWidth="1"/>
    <col min="10" max="10" width="8.140625" customWidth="1"/>
    <col min="11" max="11" width="9.140625" customWidth="1"/>
    <col min="12" max="12" width="11.85546875" bestFit="1" customWidth="1"/>
    <col min="13" max="13" width="7.5703125" customWidth="1"/>
    <col min="14" max="14" width="12.28515625" bestFit="1" customWidth="1"/>
    <col min="15" max="15" width="9" bestFit="1" customWidth="1"/>
    <col min="16" max="16" width="9.5703125" customWidth="1"/>
    <col min="17" max="17" width="8.85546875" bestFit="1" customWidth="1"/>
    <col min="18" max="18" width="8.28515625" customWidth="1"/>
    <col min="19" max="19" width="8" customWidth="1"/>
    <col min="20" max="22" width="8.140625" bestFit="1" customWidth="1"/>
    <col min="24" max="24" width="38.28515625" bestFit="1" customWidth="1"/>
  </cols>
  <sheetData>
    <row r="2" spans="2:28" ht="30" customHeight="1">
      <c r="B2" s="13" t="s">
        <v>0</v>
      </c>
      <c r="C2" s="13" t="s">
        <v>1</v>
      </c>
      <c r="D2" s="13" t="s">
        <v>2</v>
      </c>
      <c r="E2" s="13"/>
      <c r="F2" s="14" t="s">
        <v>3</v>
      </c>
      <c r="G2" s="14" t="s">
        <v>4</v>
      </c>
      <c r="H2" s="14" t="s">
        <v>5</v>
      </c>
      <c r="I2" s="15" t="s">
        <v>6</v>
      </c>
      <c r="J2" s="14" t="s">
        <v>7</v>
      </c>
      <c r="K2" s="15" t="s">
        <v>8</v>
      </c>
      <c r="L2" s="1"/>
      <c r="M2" s="14" t="s">
        <v>9</v>
      </c>
      <c r="N2" s="14" t="s">
        <v>10</v>
      </c>
      <c r="O2" s="14"/>
      <c r="P2" s="14"/>
      <c r="Q2" s="14"/>
      <c r="R2" s="14"/>
      <c r="S2" s="14"/>
      <c r="T2" s="14" t="s">
        <v>11</v>
      </c>
      <c r="U2" s="14" t="s">
        <v>12</v>
      </c>
      <c r="V2" s="16" t="s">
        <v>13</v>
      </c>
      <c r="W2" s="16" t="s">
        <v>13</v>
      </c>
      <c r="X2" s="2" t="s">
        <v>14</v>
      </c>
    </row>
    <row r="3" spans="2:28" ht="45">
      <c r="B3" s="13"/>
      <c r="C3" s="13"/>
      <c r="D3" s="13"/>
      <c r="E3" s="13"/>
      <c r="F3" s="14"/>
      <c r="G3" s="14"/>
      <c r="H3" s="14"/>
      <c r="I3" s="15"/>
      <c r="J3" s="14"/>
      <c r="K3" s="15"/>
      <c r="L3" s="1"/>
      <c r="M3" s="14"/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4"/>
      <c r="U3" s="14"/>
      <c r="V3" s="16"/>
      <c r="W3" s="16"/>
      <c r="X3" s="2"/>
    </row>
    <row r="4" spans="2:28">
      <c r="B4" t="s">
        <v>21</v>
      </c>
      <c r="D4">
        <v>1</v>
      </c>
      <c r="E4" s="3" t="str">
        <f t="shared" ref="E4:E21" si="0">_xlfn.CONCAT("0x", DEC2HEX(D4))</f>
        <v>0x1</v>
      </c>
      <c r="F4" t="s">
        <v>22</v>
      </c>
      <c r="G4">
        <v>1</v>
      </c>
      <c r="H4" t="s">
        <v>60</v>
      </c>
      <c r="I4" s="4">
        <v>25</v>
      </c>
      <c r="J4" t="s">
        <v>61</v>
      </c>
      <c r="K4" s="4">
        <v>3</v>
      </c>
      <c r="V4" s="5" t="s">
        <v>23</v>
      </c>
      <c r="W4" s="5" t="s">
        <v>24</v>
      </c>
      <c r="X4" s="6"/>
    </row>
    <row r="5" spans="2:28">
      <c r="B5" t="s">
        <v>25</v>
      </c>
      <c r="D5">
        <v>2</v>
      </c>
      <c r="E5" s="3" t="str">
        <f t="shared" si="0"/>
        <v>0x2</v>
      </c>
      <c r="F5" t="s">
        <v>26</v>
      </c>
      <c r="G5">
        <v>1</v>
      </c>
      <c r="H5" t="s">
        <v>60</v>
      </c>
      <c r="I5" s="4">
        <v>4</v>
      </c>
      <c r="J5" t="s">
        <v>61</v>
      </c>
      <c r="K5" s="4">
        <v>12</v>
      </c>
      <c r="V5" s="5">
        <v>39</v>
      </c>
      <c r="W5" s="5" t="s">
        <v>27</v>
      </c>
      <c r="X5" s="6"/>
    </row>
    <row r="6" spans="2:28">
      <c r="B6" t="s">
        <v>28</v>
      </c>
      <c r="D6">
        <v>3</v>
      </c>
      <c r="E6" s="3" t="str">
        <f t="shared" si="0"/>
        <v>0x3</v>
      </c>
      <c r="F6" t="s">
        <v>29</v>
      </c>
      <c r="G6">
        <v>1</v>
      </c>
      <c r="H6" t="s">
        <v>60</v>
      </c>
      <c r="I6" s="4">
        <v>1260</v>
      </c>
      <c r="J6" t="s">
        <v>61</v>
      </c>
      <c r="K6" s="4">
        <v>12</v>
      </c>
      <c r="V6" s="5">
        <v>85</v>
      </c>
      <c r="W6" s="5" t="s">
        <v>30</v>
      </c>
      <c r="X6" s="6"/>
      <c r="AA6" s="7"/>
      <c r="AB6" s="7"/>
    </row>
    <row r="7" spans="2:28">
      <c r="B7" t="s">
        <v>31</v>
      </c>
      <c r="D7">
        <v>4</v>
      </c>
      <c r="E7" s="3" t="str">
        <f t="shared" si="0"/>
        <v>0x4</v>
      </c>
      <c r="F7" t="s">
        <v>32</v>
      </c>
      <c r="G7">
        <v>1</v>
      </c>
      <c r="H7" t="s">
        <v>60</v>
      </c>
      <c r="I7" s="4">
        <v>86</v>
      </c>
      <c r="J7" t="s">
        <v>61</v>
      </c>
      <c r="K7" s="4">
        <v>3</v>
      </c>
      <c r="V7" s="5">
        <v>50</v>
      </c>
      <c r="W7" s="5" t="s">
        <v>33</v>
      </c>
      <c r="X7" s="6"/>
    </row>
    <row r="8" spans="2:28">
      <c r="B8" t="s">
        <v>34</v>
      </c>
      <c r="D8">
        <v>5</v>
      </c>
      <c r="E8" s="3" t="str">
        <f t="shared" si="0"/>
        <v>0x5</v>
      </c>
      <c r="F8" t="s">
        <v>35</v>
      </c>
      <c r="G8">
        <v>1</v>
      </c>
      <c r="H8" t="s">
        <v>60</v>
      </c>
      <c r="I8" s="4">
        <v>10</v>
      </c>
      <c r="J8" t="s">
        <v>61</v>
      </c>
      <c r="K8" s="4" t="s">
        <v>36</v>
      </c>
      <c r="V8" s="5"/>
      <c r="W8" s="5"/>
      <c r="X8" s="6" t="s">
        <v>37</v>
      </c>
    </row>
    <row r="9" spans="2:28">
      <c r="B9" t="s">
        <v>38</v>
      </c>
      <c r="D9">
        <v>6</v>
      </c>
      <c r="E9" s="3" t="str">
        <f t="shared" si="0"/>
        <v>0x6</v>
      </c>
      <c r="F9" t="s">
        <v>39</v>
      </c>
      <c r="G9">
        <v>1</v>
      </c>
      <c r="H9" t="s">
        <v>60</v>
      </c>
      <c r="I9" s="4">
        <v>1277</v>
      </c>
      <c r="J9" t="s">
        <v>61</v>
      </c>
      <c r="K9" s="4"/>
      <c r="N9" s="8" t="s">
        <v>40</v>
      </c>
      <c r="O9" s="9">
        <v>1757</v>
      </c>
      <c r="P9" s="9">
        <v>1757</v>
      </c>
      <c r="Q9" s="9">
        <f>MEDIAN(O9:P9)</f>
        <v>1757</v>
      </c>
      <c r="R9" s="9">
        <v>1757</v>
      </c>
      <c r="S9" s="9">
        <v>4</v>
      </c>
      <c r="T9" s="8"/>
      <c r="U9" s="8"/>
      <c r="V9" s="5" t="s">
        <v>41</v>
      </c>
      <c r="W9" s="5" t="s">
        <v>42</v>
      </c>
      <c r="X9" s="6"/>
    </row>
    <row r="10" spans="2:28">
      <c r="B10" s="10" t="s">
        <v>70</v>
      </c>
      <c r="C10" s="10"/>
      <c r="D10" s="11">
        <v>7</v>
      </c>
      <c r="E10" s="3" t="str">
        <f t="shared" si="0"/>
        <v>0x7</v>
      </c>
      <c r="F10" s="11" t="s">
        <v>44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5"/>
      <c r="W10" s="5"/>
      <c r="X10" s="6"/>
    </row>
    <row r="11" spans="2:28">
      <c r="B11" s="11" t="s">
        <v>69</v>
      </c>
      <c r="C11" s="11"/>
      <c r="D11" s="11">
        <v>8</v>
      </c>
      <c r="E11" s="3" t="str">
        <f t="shared" si="0"/>
        <v>0x8</v>
      </c>
      <c r="F11" s="11" t="s">
        <v>45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5"/>
      <c r="W11" s="5"/>
      <c r="X11" s="6"/>
    </row>
    <row r="12" spans="2:28">
      <c r="B12" s="11" t="s">
        <v>71</v>
      </c>
      <c r="C12" s="11"/>
      <c r="D12" s="11">
        <v>11</v>
      </c>
      <c r="E12" s="3" t="str">
        <f t="shared" si="0"/>
        <v>0xB</v>
      </c>
      <c r="F12" s="11" t="s">
        <v>46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5"/>
      <c r="W12" s="5"/>
      <c r="X12" s="6"/>
    </row>
    <row r="13" spans="2:28">
      <c r="B13" s="10" t="s">
        <v>72</v>
      </c>
      <c r="C13" s="10"/>
      <c r="D13" s="11">
        <v>12</v>
      </c>
      <c r="E13" s="3" t="str">
        <f t="shared" si="0"/>
        <v>0xC</v>
      </c>
      <c r="F13" s="11" t="s">
        <v>47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5"/>
      <c r="W13" s="5"/>
      <c r="X13" s="6"/>
    </row>
    <row r="14" spans="2:28">
      <c r="B14" t="s">
        <v>65</v>
      </c>
      <c r="D14">
        <v>15</v>
      </c>
      <c r="E14" s="3" t="str">
        <f t="shared" si="0"/>
        <v>0xF</v>
      </c>
      <c r="F14" t="s">
        <v>48</v>
      </c>
      <c r="G14">
        <v>1</v>
      </c>
      <c r="H14" t="s">
        <v>60</v>
      </c>
      <c r="I14" s="4">
        <v>10</v>
      </c>
      <c r="J14" t="s">
        <v>61</v>
      </c>
      <c r="K14" s="4">
        <v>12</v>
      </c>
      <c r="L14">
        <v>6</v>
      </c>
      <c r="M14" s="4">
        <v>2</v>
      </c>
      <c r="N14" s="8" t="s">
        <v>66</v>
      </c>
      <c r="O14" s="9">
        <v>5</v>
      </c>
      <c r="P14" s="9">
        <v>5</v>
      </c>
      <c r="Q14" s="9">
        <v>5</v>
      </c>
      <c r="R14" s="9">
        <v>5</v>
      </c>
      <c r="S14" s="9">
        <v>14</v>
      </c>
      <c r="V14" s="5" t="s">
        <v>49</v>
      </c>
      <c r="W14" s="5">
        <v>95</v>
      </c>
      <c r="X14" s="6"/>
    </row>
    <row r="15" spans="2:28">
      <c r="B15" t="s">
        <v>62</v>
      </c>
      <c r="D15">
        <v>16</v>
      </c>
      <c r="E15" s="3" t="str">
        <f t="shared" si="0"/>
        <v>0x10</v>
      </c>
      <c r="F15" t="s">
        <v>50</v>
      </c>
      <c r="G15">
        <v>1</v>
      </c>
      <c r="H15" t="s">
        <v>60</v>
      </c>
      <c r="I15" s="4">
        <v>10</v>
      </c>
      <c r="J15" t="s">
        <v>61</v>
      </c>
      <c r="K15" s="4">
        <v>3</v>
      </c>
      <c r="L15" t="s">
        <v>64</v>
      </c>
      <c r="M15" s="4">
        <v>6</v>
      </c>
      <c r="N15" s="8" t="s">
        <v>63</v>
      </c>
      <c r="O15" s="9">
        <v>1</v>
      </c>
      <c r="P15" s="9">
        <v>4</v>
      </c>
      <c r="Q15" s="9">
        <v>2.5</v>
      </c>
      <c r="R15" s="9">
        <v>10</v>
      </c>
      <c r="S15" s="9">
        <v>27</v>
      </c>
      <c r="V15" s="5" t="s">
        <v>51</v>
      </c>
      <c r="W15" s="5" t="s">
        <v>33</v>
      </c>
      <c r="X15" s="6"/>
    </row>
    <row r="16" spans="2:28">
      <c r="B16" s="10" t="s">
        <v>43</v>
      </c>
      <c r="C16" s="10"/>
      <c r="D16" s="11">
        <v>17</v>
      </c>
      <c r="E16" s="3" t="str">
        <f t="shared" si="0"/>
        <v>0x11</v>
      </c>
      <c r="F16" s="11" t="s">
        <v>52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5"/>
      <c r="W16" s="5"/>
      <c r="X16" s="6"/>
    </row>
    <row r="17" spans="2:24">
      <c r="B17" s="11" t="s">
        <v>43</v>
      </c>
      <c r="C17" s="11"/>
      <c r="D17" s="11">
        <v>20</v>
      </c>
      <c r="E17" s="3" t="str">
        <f t="shared" si="0"/>
        <v>0x14</v>
      </c>
      <c r="F17" s="11" t="s">
        <v>53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5"/>
      <c r="W17" s="5"/>
      <c r="X17" s="6"/>
    </row>
    <row r="18" spans="2:24">
      <c r="B18" s="11" t="s">
        <v>43</v>
      </c>
      <c r="C18" s="11"/>
      <c r="D18" s="11">
        <v>21</v>
      </c>
      <c r="E18" s="3" t="str">
        <f t="shared" si="0"/>
        <v>0x15</v>
      </c>
      <c r="F18" s="11" t="s">
        <v>54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5"/>
      <c r="W18" s="5"/>
      <c r="X18" s="6"/>
    </row>
    <row r="19" spans="2:24">
      <c r="B19" s="10" t="s">
        <v>43</v>
      </c>
      <c r="C19" s="10"/>
      <c r="D19" s="11">
        <v>22</v>
      </c>
      <c r="E19" s="3" t="str">
        <f t="shared" si="0"/>
        <v>0x16</v>
      </c>
      <c r="F19" s="11" t="s">
        <v>73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5"/>
      <c r="W19" s="5"/>
      <c r="X19" s="6"/>
    </row>
    <row r="20" spans="2:24">
      <c r="B20" t="s">
        <v>55</v>
      </c>
      <c r="D20">
        <v>23</v>
      </c>
      <c r="E20" s="3" t="str">
        <f t="shared" si="0"/>
        <v>0x17</v>
      </c>
      <c r="F20" t="s">
        <v>56</v>
      </c>
      <c r="G20">
        <v>1</v>
      </c>
      <c r="H20" t="s">
        <v>60</v>
      </c>
      <c r="I20" s="4">
        <v>0</v>
      </c>
      <c r="J20" t="s">
        <v>61</v>
      </c>
      <c r="K20" s="4">
        <v>2</v>
      </c>
      <c r="L20">
        <v>10</v>
      </c>
      <c r="M20" s="4">
        <v>4</v>
      </c>
      <c r="N20" s="8" t="s">
        <v>57</v>
      </c>
      <c r="O20" s="9">
        <v>0</v>
      </c>
      <c r="P20" s="9">
        <v>2</v>
      </c>
      <c r="Q20" s="9">
        <v>0.75</v>
      </c>
      <c r="R20" s="9">
        <v>3</v>
      </c>
      <c r="S20" s="9">
        <v>30</v>
      </c>
      <c r="T20" s="4">
        <v>10</v>
      </c>
      <c r="U20" s="4">
        <v>2</v>
      </c>
      <c r="V20" s="5" t="s">
        <v>58</v>
      </c>
      <c r="W20" s="5">
        <v>63</v>
      </c>
      <c r="X20" s="6"/>
    </row>
    <row r="21" spans="2:24">
      <c r="B21" s="10" t="s">
        <v>43</v>
      </c>
      <c r="C21" s="10"/>
      <c r="D21" s="11">
        <v>24</v>
      </c>
      <c r="E21" s="3" t="str">
        <f t="shared" si="0"/>
        <v>0x18</v>
      </c>
      <c r="F21" s="11" t="s">
        <v>59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2" t="s">
        <v>67</v>
      </c>
      <c r="U21" s="12" t="s">
        <v>68</v>
      </c>
      <c r="V21" s="5"/>
      <c r="W21" s="5"/>
      <c r="X21" s="6"/>
    </row>
  </sheetData>
  <mergeCells count="15">
    <mergeCell ref="N2:S2"/>
    <mergeCell ref="T2:T3"/>
    <mergeCell ref="U2:U3"/>
    <mergeCell ref="V2:V3"/>
    <mergeCell ref="W2:W3"/>
    <mergeCell ref="H2:H3"/>
    <mergeCell ref="I2:I3"/>
    <mergeCell ref="J2:J3"/>
    <mergeCell ref="K2:K3"/>
    <mergeCell ref="M2:M3"/>
    <mergeCell ref="B2:B3"/>
    <mergeCell ref="C2:C3"/>
    <mergeCell ref="D2:E3"/>
    <mergeCell ref="F2:F3"/>
    <mergeCell ref="G2:G3"/>
  </mergeCells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Mayén</dc:creator>
  <cp:lastModifiedBy>Héctor Mayén</cp:lastModifiedBy>
  <cp:revision>1</cp:revision>
  <dcterms:created xsi:type="dcterms:W3CDTF">2026-09-02T23:08:57Z</dcterms:created>
  <dcterms:modified xsi:type="dcterms:W3CDTF">2026-09-06T04:51:38Z</dcterms:modified>
</cp:coreProperties>
</file>